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min/Desktop/"/>
    </mc:Choice>
  </mc:AlternateContent>
  <xr:revisionPtr revIDLastSave="0" documentId="13_ncr:1_{45C6CCB7-F480-CC4B-9CEA-0135AB1AAA2A}" xr6:coauthVersionLast="47" xr6:coauthVersionMax="47" xr10:uidLastSave="{00000000-0000-0000-0000-000000000000}"/>
  <bookViews>
    <workbookView xWindow="0" yWindow="0" windowWidth="28800" windowHeight="18000" xr2:uid="{086DB41A-FA7E-DB49-AC41-45985D5CE7EC}"/>
  </bookViews>
  <sheets>
    <sheet name="Лист1" sheetId="1" r:id="rId1"/>
    <sheet name="Лист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9" i="1"/>
  <c r="D15" i="1"/>
  <c r="C27" i="1"/>
  <c r="B27" i="1"/>
  <c r="F43" i="2"/>
  <c r="C40" i="2"/>
  <c r="D40" i="2"/>
  <c r="E40" i="2"/>
  <c r="C41" i="2"/>
  <c r="D41" i="2"/>
  <c r="E41" i="2"/>
  <c r="C42" i="2"/>
  <c r="D42" i="2"/>
  <c r="E42" i="2"/>
  <c r="B41" i="2"/>
  <c r="B42" i="2"/>
  <c r="B40" i="2"/>
  <c r="C58" i="1"/>
  <c r="D58" i="1"/>
  <c r="E58" i="1"/>
  <c r="F58" i="1"/>
  <c r="B58" i="1"/>
  <c r="D56" i="1"/>
  <c r="E56" i="1"/>
  <c r="F56" i="1"/>
  <c r="B56" i="1"/>
  <c r="C56" i="1"/>
  <c r="D57" i="1"/>
  <c r="E57" i="1"/>
  <c r="F57" i="1"/>
  <c r="B57" i="1"/>
  <c r="C57" i="1"/>
  <c r="C50" i="1"/>
  <c r="D50" i="1"/>
  <c r="E50" i="1"/>
  <c r="F50" i="1"/>
  <c r="B50" i="1"/>
  <c r="C49" i="1"/>
  <c r="D49" i="1"/>
  <c r="E49" i="1"/>
  <c r="F49" i="1"/>
  <c r="B49" i="1"/>
  <c r="E51" i="1"/>
  <c r="D51" i="1"/>
  <c r="C51" i="1"/>
  <c r="B51" i="1"/>
  <c r="E43" i="1"/>
  <c r="D43" i="1"/>
  <c r="C43" i="1"/>
  <c r="B43" i="1"/>
  <c r="E37" i="1"/>
  <c r="D37" i="1"/>
  <c r="C37" i="1"/>
  <c r="B37" i="1"/>
  <c r="D27" i="1"/>
  <c r="E27" i="1"/>
  <c r="C14" i="1"/>
  <c r="D14" i="1"/>
  <c r="E14" i="1"/>
  <c r="F10" i="1"/>
  <c r="D10" i="1"/>
  <c r="E10" i="1"/>
  <c r="B10" i="1"/>
  <c r="C10" i="1"/>
  <c r="D8" i="1"/>
  <c r="E8" i="1"/>
  <c r="E15" i="1" s="1"/>
  <c r="F8" i="1"/>
  <c r="F14" i="1" s="1"/>
  <c r="B8" i="1"/>
  <c r="B15" i="1" s="1"/>
  <c r="C8" i="1"/>
  <c r="C15" i="1" s="1"/>
  <c r="G2" i="1"/>
  <c r="F15" i="1" l="1"/>
  <c r="B14" i="1"/>
  <c r="G8" i="1"/>
</calcChain>
</file>

<file path=xl/sharedStrings.xml><?xml version="1.0" encoding="utf-8"?>
<sst xmlns="http://schemas.openxmlformats.org/spreadsheetml/2006/main" count="123" uniqueCount="25">
  <si>
    <t>x1</t>
  </si>
  <si>
    <t>x2</t>
  </si>
  <si>
    <t>y1</t>
  </si>
  <si>
    <t>y2</t>
  </si>
  <si>
    <t>b</t>
  </si>
  <si>
    <t>b/разр</t>
  </si>
  <si>
    <t>базис</t>
  </si>
  <si>
    <t>не берем, тк отрицательный</t>
  </si>
  <si>
    <t>C</t>
  </si>
  <si>
    <t>delta</t>
  </si>
  <si>
    <t>Сначала видим, что в столбце b есть отрицательные значения</t>
  </si>
  <si>
    <t>если на мин</t>
  </si>
  <si>
    <t>Берем максимальный элемент по модулю в строке</t>
  </si>
  <si>
    <t>Видим, что в столбце b есть отрицательные значения</t>
  </si>
  <si>
    <t>северо-западный</t>
  </si>
  <si>
    <t>Запасы</t>
  </si>
  <si>
    <t>Поставщики</t>
  </si>
  <si>
    <t>а1</t>
  </si>
  <si>
    <t>а2</t>
  </si>
  <si>
    <t>а3</t>
  </si>
  <si>
    <t>Потребности</t>
  </si>
  <si>
    <t>b1</t>
  </si>
  <si>
    <t>b2</t>
  </si>
  <si>
    <t>b3</t>
  </si>
  <si>
    <t>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</si>
</sst>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87522-AB46-3343-989D-8525D27FAF99}">
  <dimension ref="A1:I58"/>
  <sheetViews>
    <sheetView tabSelected="1" zoomScale="125" workbookViewId="0">
      <selection activeCell="F9" sqref="F9"/>
    </sheetView>
  </sheetViews>
  <sheetFormatPr baseColWidth="10" defaultRowHeight="16" x14ac:dyDescent="0.2"/>
  <sheetData>
    <row r="1" spans="1:8" x14ac:dyDescent="0.2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8" x14ac:dyDescent="0.2">
      <c r="A2" t="s">
        <v>2</v>
      </c>
      <c r="B2">
        <v>4</v>
      </c>
      <c r="C2" s="1">
        <v>1</v>
      </c>
      <c r="D2">
        <v>1</v>
      </c>
      <c r="E2">
        <v>0</v>
      </c>
      <c r="F2">
        <v>8</v>
      </c>
      <c r="G2">
        <f>F2/C2</f>
        <v>8</v>
      </c>
    </row>
    <row r="3" spans="1:8" x14ac:dyDescent="0.2">
      <c r="A3" t="s">
        <v>3</v>
      </c>
      <c r="B3" s="1">
        <v>-1</v>
      </c>
      <c r="C3" s="2">
        <v>1</v>
      </c>
      <c r="D3" s="1">
        <v>0</v>
      </c>
      <c r="E3" s="1">
        <v>1</v>
      </c>
      <c r="F3" s="1">
        <v>3</v>
      </c>
      <c r="G3" s="1">
        <f>F3/C3</f>
        <v>3</v>
      </c>
    </row>
    <row r="4" spans="1:8" x14ac:dyDescent="0.2">
      <c r="B4">
        <v>-3</v>
      </c>
      <c r="C4" s="1">
        <v>-4</v>
      </c>
      <c r="D4">
        <v>0</v>
      </c>
      <c r="E4">
        <v>0</v>
      </c>
      <c r="F4">
        <v>0</v>
      </c>
    </row>
    <row r="7" spans="1:8" x14ac:dyDescent="0.2">
      <c r="A7" t="s">
        <v>6</v>
      </c>
      <c r="B7" t="s">
        <v>0</v>
      </c>
      <c r="C7" t="s">
        <v>1</v>
      </c>
      <c r="D7" t="s">
        <v>2</v>
      </c>
      <c r="E7" t="s">
        <v>3</v>
      </c>
      <c r="F7" t="s">
        <v>4</v>
      </c>
      <c r="G7" t="s">
        <v>5</v>
      </c>
    </row>
    <row r="8" spans="1:8" x14ac:dyDescent="0.2">
      <c r="A8" t="s">
        <v>1</v>
      </c>
      <c r="B8" s="2">
        <f>B2-B9</f>
        <v>5</v>
      </c>
      <c r="C8" s="1">
        <f>C2-C9</f>
        <v>0</v>
      </c>
      <c r="D8" s="1">
        <f t="shared" ref="D8:F8" si="0">D2-D9</f>
        <v>1</v>
      </c>
      <c r="E8" s="1">
        <f t="shared" si="0"/>
        <v>-1</v>
      </c>
      <c r="F8" s="1">
        <f t="shared" si="0"/>
        <v>5</v>
      </c>
      <c r="G8" s="1">
        <f>F8/B8</f>
        <v>1</v>
      </c>
    </row>
    <row r="9" spans="1:8" x14ac:dyDescent="0.2">
      <c r="A9" t="s">
        <v>2</v>
      </c>
      <c r="B9" s="1">
        <v>-1</v>
      </c>
      <c r="C9" s="3">
        <v>1</v>
      </c>
      <c r="D9" s="3">
        <v>0</v>
      </c>
      <c r="E9" s="3">
        <v>1</v>
      </c>
      <c r="F9" s="3">
        <v>3</v>
      </c>
      <c r="G9" s="3">
        <f>F9/B9</f>
        <v>-3</v>
      </c>
      <c r="H9" t="s">
        <v>7</v>
      </c>
    </row>
    <row r="10" spans="1:8" x14ac:dyDescent="0.2">
      <c r="B10" s="1">
        <f>B3*4+B4</f>
        <v>-7</v>
      </c>
      <c r="C10" s="3">
        <f>C3*4+C4</f>
        <v>0</v>
      </c>
      <c r="D10" s="3">
        <f t="shared" ref="D10:E10" si="1">D3*4+D4</f>
        <v>0</v>
      </c>
      <c r="E10" s="3">
        <f t="shared" si="1"/>
        <v>4</v>
      </c>
      <c r="F10" s="3">
        <f>F3*4+F4</f>
        <v>12</v>
      </c>
      <c r="G10" s="3"/>
    </row>
    <row r="12" spans="1:8" x14ac:dyDescent="0.2">
      <c r="A12" t="s">
        <v>6</v>
      </c>
      <c r="B12" t="s">
        <v>0</v>
      </c>
      <c r="C12" t="s">
        <v>1</v>
      </c>
      <c r="D12" t="s">
        <v>2</v>
      </c>
      <c r="E12" t="s">
        <v>3</v>
      </c>
      <c r="F12" t="s">
        <v>4</v>
      </c>
      <c r="G12" t="s">
        <v>5</v>
      </c>
    </row>
    <row r="13" spans="1:8" x14ac:dyDescent="0.2">
      <c r="A13" t="s">
        <v>1</v>
      </c>
      <c r="B13" s="2">
        <v>5</v>
      </c>
      <c r="C13" s="2">
        <v>0</v>
      </c>
      <c r="D13" s="2">
        <v>1</v>
      </c>
      <c r="E13" s="2">
        <v>-1</v>
      </c>
      <c r="F13" s="2">
        <v>5</v>
      </c>
      <c r="G13" s="2"/>
    </row>
    <row r="14" spans="1:8" x14ac:dyDescent="0.2">
      <c r="A14" t="s">
        <v>2</v>
      </c>
      <c r="B14">
        <f>B9*5+B8</f>
        <v>0</v>
      </c>
      <c r="C14">
        <f t="shared" ref="C14:F14" si="2">C9*5+C8</f>
        <v>5</v>
      </c>
      <c r="D14">
        <f t="shared" si="2"/>
        <v>1</v>
      </c>
      <c r="E14">
        <f t="shared" si="2"/>
        <v>4</v>
      </c>
      <c r="F14">
        <f t="shared" si="2"/>
        <v>20</v>
      </c>
    </row>
    <row r="15" spans="1:8" x14ac:dyDescent="0.2">
      <c r="B15">
        <f>B8/5*7+B10</f>
        <v>0</v>
      </c>
      <c r="C15">
        <f t="shared" ref="C15:F15" si="3">C8/5*7+C10</f>
        <v>0</v>
      </c>
      <c r="D15">
        <f>D8/5*7+D10</f>
        <v>1.4000000000000001</v>
      </c>
      <c r="E15">
        <f t="shared" si="3"/>
        <v>2.5999999999999996</v>
      </c>
      <c r="F15">
        <f t="shared" si="3"/>
        <v>19</v>
      </c>
    </row>
    <row r="23" spans="1:6" x14ac:dyDescent="0.2">
      <c r="A23" t="s">
        <v>8</v>
      </c>
      <c r="B23">
        <v>3</v>
      </c>
      <c r="C23">
        <v>4</v>
      </c>
      <c r="D23">
        <v>0</v>
      </c>
      <c r="E23">
        <v>0</v>
      </c>
      <c r="F23">
        <v>0</v>
      </c>
    </row>
    <row r="24" spans="1:6" x14ac:dyDescent="0.2">
      <c r="A24" t="s">
        <v>6</v>
      </c>
      <c r="B24" t="s">
        <v>0</v>
      </c>
      <c r="C24" t="s">
        <v>1</v>
      </c>
      <c r="D24" t="s">
        <v>2</v>
      </c>
      <c r="E24" t="s">
        <v>3</v>
      </c>
      <c r="F24" t="s">
        <v>4</v>
      </c>
    </row>
    <row r="25" spans="1:6" x14ac:dyDescent="0.2">
      <c r="A25" t="s">
        <v>2</v>
      </c>
      <c r="B25" s="3">
        <v>4</v>
      </c>
      <c r="C25" s="3">
        <v>1</v>
      </c>
      <c r="D25" s="3">
        <v>1</v>
      </c>
      <c r="E25" s="3">
        <v>0</v>
      </c>
      <c r="F25" s="3">
        <v>8</v>
      </c>
    </row>
    <row r="26" spans="1:6" x14ac:dyDescent="0.2">
      <c r="A26" t="s">
        <v>3</v>
      </c>
      <c r="B26" s="3">
        <v>-1</v>
      </c>
      <c r="C26" s="3">
        <v>1</v>
      </c>
      <c r="D26" s="3">
        <v>0</v>
      </c>
      <c r="E26" s="3">
        <v>1</v>
      </c>
      <c r="F26" s="3">
        <v>3</v>
      </c>
    </row>
    <row r="27" spans="1:6" x14ac:dyDescent="0.2">
      <c r="A27" t="s">
        <v>9</v>
      </c>
      <c r="B27">
        <f>$D23*B25+$E23*B26-B23</f>
        <v>-3</v>
      </c>
      <c r="C27">
        <f>$D23*C25+$E23*C26-C23</f>
        <v>-4</v>
      </c>
      <c r="D27">
        <f t="shared" ref="D27:E27" si="4">$D23*D25+$E23*D26-D23</f>
        <v>0</v>
      </c>
      <c r="E27">
        <f t="shared" si="4"/>
        <v>0</v>
      </c>
    </row>
    <row r="32" spans="1:6" x14ac:dyDescent="0.2">
      <c r="B32" t="s">
        <v>11</v>
      </c>
    </row>
    <row r="33" spans="1:9" x14ac:dyDescent="0.2">
      <c r="A33" t="s">
        <v>8</v>
      </c>
      <c r="B33">
        <v>3</v>
      </c>
      <c r="C33">
        <v>4</v>
      </c>
      <c r="D33">
        <v>0</v>
      </c>
      <c r="E33">
        <v>0</v>
      </c>
      <c r="F33">
        <v>0</v>
      </c>
      <c r="I33" t="s">
        <v>10</v>
      </c>
    </row>
    <row r="34" spans="1:9" x14ac:dyDescent="0.2">
      <c r="A34" t="s">
        <v>6</v>
      </c>
      <c r="B34" t="s">
        <v>0</v>
      </c>
      <c r="C34" t="s">
        <v>1</v>
      </c>
      <c r="D34" t="s">
        <v>2</v>
      </c>
      <c r="E34" t="s">
        <v>3</v>
      </c>
      <c r="F34" t="s">
        <v>4</v>
      </c>
      <c r="I34" t="s">
        <v>12</v>
      </c>
    </row>
    <row r="35" spans="1:9" x14ac:dyDescent="0.2">
      <c r="A35" t="s">
        <v>2</v>
      </c>
      <c r="B35" s="3">
        <v>-4</v>
      </c>
      <c r="C35" s="3">
        <v>-1</v>
      </c>
      <c r="D35" s="3">
        <v>1</v>
      </c>
      <c r="E35" s="3">
        <v>0</v>
      </c>
      <c r="F35" s="3">
        <v>-8</v>
      </c>
    </row>
    <row r="36" spans="1:9" x14ac:dyDescent="0.2">
      <c r="A36" t="s">
        <v>3</v>
      </c>
      <c r="B36" s="3">
        <v>1</v>
      </c>
      <c r="C36" s="3">
        <v>-1</v>
      </c>
      <c r="D36" s="3">
        <v>0</v>
      </c>
      <c r="E36" s="3">
        <v>1</v>
      </c>
      <c r="F36" s="3">
        <v>-3</v>
      </c>
    </row>
    <row r="37" spans="1:9" x14ac:dyDescent="0.2">
      <c r="A37" t="s">
        <v>9</v>
      </c>
      <c r="B37">
        <f>$D33*B35+$E33*B36-B33</f>
        <v>-3</v>
      </c>
      <c r="C37">
        <f>$D33*C35+$E33*C36-C33</f>
        <v>-4</v>
      </c>
      <c r="D37">
        <f>$D33*D35+$E33*D36-D33</f>
        <v>0</v>
      </c>
      <c r="E37">
        <f>$D33*E35+$E33*E36-E33</f>
        <v>0</v>
      </c>
    </row>
    <row r="39" spans="1:9" x14ac:dyDescent="0.2">
      <c r="A39" t="s">
        <v>8</v>
      </c>
      <c r="B39" s="1">
        <v>3</v>
      </c>
      <c r="C39">
        <v>4</v>
      </c>
      <c r="D39">
        <v>0</v>
      </c>
      <c r="E39">
        <v>0</v>
      </c>
      <c r="F39">
        <v>0</v>
      </c>
    </row>
    <row r="40" spans="1:9" x14ac:dyDescent="0.2">
      <c r="A40" t="s">
        <v>6</v>
      </c>
      <c r="B40" s="1" t="s">
        <v>0</v>
      </c>
      <c r="C40" t="s">
        <v>1</v>
      </c>
      <c r="D40" t="s">
        <v>2</v>
      </c>
      <c r="E40" t="s">
        <v>3</v>
      </c>
      <c r="F40" t="s">
        <v>4</v>
      </c>
    </row>
    <row r="41" spans="1:9" x14ac:dyDescent="0.2">
      <c r="A41" s="1" t="s">
        <v>2</v>
      </c>
      <c r="B41" s="1">
        <v>-4</v>
      </c>
      <c r="C41" s="1">
        <v>-1</v>
      </c>
      <c r="D41" s="1">
        <v>1</v>
      </c>
      <c r="E41" s="1">
        <v>0</v>
      </c>
      <c r="F41" s="1">
        <v>-8</v>
      </c>
    </row>
    <row r="42" spans="1:9" x14ac:dyDescent="0.2">
      <c r="A42" t="s">
        <v>3</v>
      </c>
      <c r="B42" s="1">
        <v>1</v>
      </c>
      <c r="C42" s="3">
        <v>-1</v>
      </c>
      <c r="D42" s="3">
        <v>0</v>
      </c>
      <c r="E42" s="3">
        <v>1</v>
      </c>
      <c r="F42" s="3">
        <v>-3</v>
      </c>
    </row>
    <row r="43" spans="1:9" x14ac:dyDescent="0.2">
      <c r="A43" t="s">
        <v>9</v>
      </c>
      <c r="B43" s="1">
        <f>$D39*B41+$E39*B42-B39</f>
        <v>-3</v>
      </c>
      <c r="C43">
        <f>$D39*C41+$E39*C42-C39</f>
        <v>-4</v>
      </c>
      <c r="D43">
        <f>$D39*D41+$E39*D42-D39</f>
        <v>0</v>
      </c>
      <c r="E43">
        <f>$D39*E41+$E39*E42-E39</f>
        <v>0</v>
      </c>
    </row>
    <row r="47" spans="1:9" x14ac:dyDescent="0.2">
      <c r="A47" s="3" t="s">
        <v>8</v>
      </c>
      <c r="B47" s="3">
        <v>3</v>
      </c>
      <c r="C47" s="1">
        <v>4</v>
      </c>
      <c r="D47" s="3">
        <v>0</v>
      </c>
      <c r="E47" s="3">
        <v>0</v>
      </c>
      <c r="F47" s="3">
        <v>0</v>
      </c>
      <c r="I47" t="s">
        <v>13</v>
      </c>
    </row>
    <row r="48" spans="1:9" x14ac:dyDescent="0.2">
      <c r="A48" s="3" t="s">
        <v>6</v>
      </c>
      <c r="B48" s="3" t="s">
        <v>0</v>
      </c>
      <c r="C48" s="1" t="s">
        <v>1</v>
      </c>
      <c r="D48" s="3" t="s">
        <v>2</v>
      </c>
      <c r="E48" s="3" t="s">
        <v>3</v>
      </c>
      <c r="F48" s="3" t="s">
        <v>4</v>
      </c>
    </row>
    <row r="49" spans="1:6" x14ac:dyDescent="0.2">
      <c r="A49" s="3" t="s">
        <v>0</v>
      </c>
      <c r="B49" s="3">
        <f>B41/-4</f>
        <v>1</v>
      </c>
      <c r="C49" s="1">
        <f t="shared" ref="C49:F49" si="5">C41/-4</f>
        <v>0.25</v>
      </c>
      <c r="D49" s="3">
        <f t="shared" si="5"/>
        <v>-0.25</v>
      </c>
      <c r="E49" s="3">
        <f t="shared" si="5"/>
        <v>0</v>
      </c>
      <c r="F49" s="3">
        <f t="shared" si="5"/>
        <v>2</v>
      </c>
    </row>
    <row r="50" spans="1:6" x14ac:dyDescent="0.2">
      <c r="A50" s="1" t="s">
        <v>3</v>
      </c>
      <c r="B50" s="1">
        <f>B42-B49</f>
        <v>0</v>
      </c>
      <c r="C50" s="1">
        <f t="shared" ref="C50:F50" si="6">C42-C49</f>
        <v>-1.25</v>
      </c>
      <c r="D50" s="1">
        <f t="shared" si="6"/>
        <v>0.25</v>
      </c>
      <c r="E50" s="1">
        <f t="shared" si="6"/>
        <v>1</v>
      </c>
      <c r="F50" s="1">
        <f t="shared" si="6"/>
        <v>-5</v>
      </c>
    </row>
    <row r="51" spans="1:6" x14ac:dyDescent="0.2">
      <c r="A51" s="3" t="s">
        <v>9</v>
      </c>
      <c r="B51" s="3">
        <f>$D47*B49+$E47*B50-B47</f>
        <v>-3</v>
      </c>
      <c r="C51" s="1">
        <f>$D47*C49+$E47*C50-C47</f>
        <v>-4</v>
      </c>
      <c r="D51" s="3">
        <f>$D47*D49+$E47*D50-D47</f>
        <v>0</v>
      </c>
      <c r="E51" s="3">
        <f>$D47*E49+$E47*E50-E47</f>
        <v>0</v>
      </c>
      <c r="F51" s="3"/>
    </row>
    <row r="54" spans="1:6" x14ac:dyDescent="0.2">
      <c r="A54" t="s">
        <v>8</v>
      </c>
      <c r="B54">
        <v>3</v>
      </c>
      <c r="C54">
        <v>4</v>
      </c>
      <c r="D54">
        <v>0</v>
      </c>
      <c r="E54">
        <v>0</v>
      </c>
      <c r="F54">
        <v>0</v>
      </c>
    </row>
    <row r="55" spans="1:6" x14ac:dyDescent="0.2">
      <c r="A55" t="s">
        <v>6</v>
      </c>
      <c r="B55" t="s">
        <v>0</v>
      </c>
      <c r="C55" t="s">
        <v>1</v>
      </c>
      <c r="D55" t="s">
        <v>2</v>
      </c>
      <c r="E55" t="s">
        <v>3</v>
      </c>
      <c r="F55" t="s">
        <v>4</v>
      </c>
    </row>
    <row r="56" spans="1:6" x14ac:dyDescent="0.2">
      <c r="A56" t="s">
        <v>0</v>
      </c>
      <c r="B56">
        <f>B49-B57/4</f>
        <v>1</v>
      </c>
      <c r="C56">
        <f>C49-C57/4</f>
        <v>0</v>
      </c>
      <c r="D56">
        <f t="shared" ref="D56:F56" si="7">D49-D57/4</f>
        <v>-0.2</v>
      </c>
      <c r="E56">
        <f t="shared" si="7"/>
        <v>0.2</v>
      </c>
      <c r="F56">
        <f t="shared" si="7"/>
        <v>1</v>
      </c>
    </row>
    <row r="57" spans="1:6" x14ac:dyDescent="0.2">
      <c r="A57" t="s">
        <v>0</v>
      </c>
      <c r="B57">
        <f>B50/-1.25</f>
        <v>0</v>
      </c>
      <c r="C57">
        <f>C50/-1.25</f>
        <v>1</v>
      </c>
      <c r="D57">
        <f t="shared" ref="D57:F57" si="8">D50/-1.25</f>
        <v>-0.2</v>
      </c>
      <c r="E57">
        <f t="shared" si="8"/>
        <v>-0.8</v>
      </c>
      <c r="F57">
        <f t="shared" si="8"/>
        <v>4</v>
      </c>
    </row>
    <row r="58" spans="1:6" x14ac:dyDescent="0.2">
      <c r="A58" t="s">
        <v>9</v>
      </c>
      <c r="B58">
        <f>$B54*B56+$C54*B57-B54</f>
        <v>0</v>
      </c>
      <c r="C58">
        <f t="shared" ref="C58:F58" si="9">$B54*C56+$C54*C57-C54</f>
        <v>0</v>
      </c>
      <c r="D58">
        <f t="shared" si="9"/>
        <v>-1.4000000000000001</v>
      </c>
      <c r="E58">
        <f t="shared" si="9"/>
        <v>-2.6</v>
      </c>
      <c r="F58">
        <f t="shared" si="9"/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BF92E-DC44-ED42-8024-BDEB175A363A}">
  <dimension ref="A1:L63"/>
  <sheetViews>
    <sheetView topLeftCell="A7" zoomScale="131" workbookViewId="0">
      <selection activeCell="D61" sqref="D61"/>
    </sheetView>
  </sheetViews>
  <sheetFormatPr baseColWidth="10" defaultRowHeight="16" x14ac:dyDescent="0.2"/>
  <cols>
    <col min="1" max="1" width="16.5" customWidth="1"/>
  </cols>
  <sheetData>
    <row r="1" spans="1:12" x14ac:dyDescent="0.2">
      <c r="A1" t="s">
        <v>16</v>
      </c>
      <c r="B1" t="s">
        <v>21</v>
      </c>
      <c r="C1" t="s">
        <v>22</v>
      </c>
      <c r="D1" t="s">
        <v>23</v>
      </c>
      <c r="E1" t="s">
        <v>24</v>
      </c>
      <c r="F1" t="s">
        <v>15</v>
      </c>
      <c r="I1">
        <v>30</v>
      </c>
      <c r="J1">
        <v>10</v>
      </c>
      <c r="K1">
        <v>20</v>
      </c>
      <c r="L1">
        <v>40</v>
      </c>
    </row>
    <row r="2" spans="1:12" x14ac:dyDescent="0.2">
      <c r="A2" t="s">
        <v>17</v>
      </c>
      <c r="B2">
        <v>1</v>
      </c>
      <c r="C2">
        <v>3</v>
      </c>
      <c r="D2">
        <v>2</v>
      </c>
      <c r="E2">
        <v>4</v>
      </c>
      <c r="F2">
        <v>35</v>
      </c>
      <c r="H2">
        <v>35</v>
      </c>
      <c r="I2">
        <v>1</v>
      </c>
      <c r="J2">
        <v>3</v>
      </c>
      <c r="K2">
        <v>2</v>
      </c>
      <c r="L2">
        <v>4</v>
      </c>
    </row>
    <row r="3" spans="1:12" x14ac:dyDescent="0.2">
      <c r="A3" t="s">
        <v>18</v>
      </c>
      <c r="B3">
        <v>2</v>
      </c>
      <c r="C3">
        <v>1</v>
      </c>
      <c r="D3">
        <v>4</v>
      </c>
      <c r="E3">
        <v>3</v>
      </c>
      <c r="F3">
        <v>50</v>
      </c>
      <c r="H3">
        <v>50</v>
      </c>
      <c r="I3">
        <v>2</v>
      </c>
      <c r="J3">
        <v>1</v>
      </c>
      <c r="K3">
        <v>4</v>
      </c>
      <c r="L3">
        <v>3</v>
      </c>
    </row>
    <row r="4" spans="1:12" x14ac:dyDescent="0.2">
      <c r="A4" t="s">
        <v>19</v>
      </c>
      <c r="B4">
        <v>3</v>
      </c>
      <c r="C4">
        <v>5</v>
      </c>
      <c r="D4">
        <v>6</v>
      </c>
      <c r="E4">
        <v>1</v>
      </c>
      <c r="F4">
        <v>15</v>
      </c>
      <c r="H4">
        <v>15</v>
      </c>
      <c r="I4">
        <v>3</v>
      </c>
      <c r="J4">
        <v>5</v>
      </c>
      <c r="K4">
        <v>6</v>
      </c>
      <c r="L4">
        <v>1</v>
      </c>
    </row>
    <row r="5" spans="1:12" x14ac:dyDescent="0.2">
      <c r="A5" t="s">
        <v>20</v>
      </c>
      <c r="B5">
        <v>30</v>
      </c>
      <c r="C5">
        <v>10</v>
      </c>
      <c r="D5">
        <v>20</v>
      </c>
      <c r="E5">
        <v>40</v>
      </c>
    </row>
    <row r="7" spans="1:12" x14ac:dyDescent="0.2">
      <c r="A7" t="s">
        <v>14</v>
      </c>
    </row>
    <row r="8" spans="1:12" x14ac:dyDescent="0.2">
      <c r="A8" t="s">
        <v>16</v>
      </c>
      <c r="B8" t="s">
        <v>21</v>
      </c>
      <c r="C8" t="s">
        <v>22</v>
      </c>
      <c r="D8" t="s">
        <v>23</v>
      </c>
      <c r="E8" t="s">
        <v>24</v>
      </c>
      <c r="F8" t="s">
        <v>15</v>
      </c>
    </row>
    <row r="9" spans="1:12" x14ac:dyDescent="0.2">
      <c r="A9" t="s">
        <v>17</v>
      </c>
      <c r="B9">
        <v>30</v>
      </c>
      <c r="C9">
        <v>5</v>
      </c>
      <c r="F9">
        <v>35</v>
      </c>
    </row>
    <row r="10" spans="1:12" x14ac:dyDescent="0.2">
      <c r="A10" t="s">
        <v>18</v>
      </c>
      <c r="C10">
        <v>5</v>
      </c>
      <c r="D10">
        <v>20</v>
      </c>
      <c r="E10">
        <v>25</v>
      </c>
      <c r="F10">
        <v>50</v>
      </c>
    </row>
    <row r="11" spans="1:12" x14ac:dyDescent="0.2">
      <c r="A11" t="s">
        <v>19</v>
      </c>
      <c r="E11">
        <v>15</v>
      </c>
      <c r="F11">
        <v>15</v>
      </c>
    </row>
    <row r="12" spans="1:12" x14ac:dyDescent="0.2">
      <c r="A12" t="s">
        <v>20</v>
      </c>
      <c r="B12">
        <v>30</v>
      </c>
      <c r="C12">
        <v>10</v>
      </c>
      <c r="D12">
        <v>20</v>
      </c>
      <c r="E12">
        <v>40</v>
      </c>
    </row>
    <row r="14" spans="1:12" x14ac:dyDescent="0.2">
      <c r="B14">
        <v>1</v>
      </c>
      <c r="C14">
        <v>3</v>
      </c>
      <c r="D14">
        <v>6</v>
      </c>
      <c r="E14">
        <v>5</v>
      </c>
    </row>
    <row r="15" spans="1:12" x14ac:dyDescent="0.2">
      <c r="A15">
        <v>0</v>
      </c>
      <c r="B15" s="1">
        <v>1</v>
      </c>
      <c r="C15" s="1">
        <v>3</v>
      </c>
      <c r="D15" s="4">
        <v>2</v>
      </c>
      <c r="E15" s="4">
        <v>4</v>
      </c>
    </row>
    <row r="16" spans="1:12" x14ac:dyDescent="0.2">
      <c r="A16">
        <v>-2</v>
      </c>
      <c r="B16">
        <v>2</v>
      </c>
      <c r="C16" s="1">
        <v>1</v>
      </c>
      <c r="D16" s="1">
        <v>4</v>
      </c>
      <c r="E16" s="1">
        <v>3</v>
      </c>
    </row>
    <row r="17" spans="1:5" x14ac:dyDescent="0.2">
      <c r="A17">
        <v>-4</v>
      </c>
      <c r="B17">
        <v>3</v>
      </c>
      <c r="C17">
        <v>5</v>
      </c>
      <c r="D17">
        <v>6</v>
      </c>
      <c r="E17" s="1">
        <v>1</v>
      </c>
    </row>
    <row r="20" spans="1:5" x14ac:dyDescent="0.2">
      <c r="B20">
        <v>1</v>
      </c>
      <c r="C20">
        <v>3</v>
      </c>
      <c r="D20">
        <v>6</v>
      </c>
      <c r="E20">
        <v>5</v>
      </c>
    </row>
    <row r="21" spans="1:5" x14ac:dyDescent="0.2">
      <c r="A21">
        <v>0</v>
      </c>
      <c r="B21">
        <v>30</v>
      </c>
      <c r="D21">
        <v>5</v>
      </c>
    </row>
    <row r="22" spans="1:5" x14ac:dyDescent="0.2">
      <c r="A22">
        <v>-2</v>
      </c>
      <c r="C22">
        <v>10</v>
      </c>
      <c r="D22">
        <v>15</v>
      </c>
      <c r="E22">
        <v>25</v>
      </c>
    </row>
    <row r="23" spans="1:5" x14ac:dyDescent="0.2">
      <c r="A23">
        <v>-4</v>
      </c>
      <c r="E23">
        <v>15</v>
      </c>
    </row>
    <row r="25" spans="1:5" x14ac:dyDescent="0.2">
      <c r="B25">
        <v>1</v>
      </c>
      <c r="C25">
        <v>-1</v>
      </c>
      <c r="D25">
        <v>2</v>
      </c>
      <c r="E25">
        <v>1</v>
      </c>
    </row>
    <row r="26" spans="1:5" x14ac:dyDescent="0.2">
      <c r="A26">
        <v>0</v>
      </c>
      <c r="B26" s="1">
        <v>1</v>
      </c>
      <c r="C26">
        <v>3</v>
      </c>
      <c r="D26" s="1">
        <v>2</v>
      </c>
      <c r="E26">
        <v>4</v>
      </c>
    </row>
    <row r="27" spans="1:5" x14ac:dyDescent="0.2">
      <c r="A27">
        <v>2</v>
      </c>
      <c r="B27" s="4">
        <v>2</v>
      </c>
      <c r="C27" s="1">
        <v>1</v>
      </c>
      <c r="D27" s="1">
        <v>4</v>
      </c>
      <c r="E27" s="1">
        <v>3</v>
      </c>
    </row>
    <row r="28" spans="1:5" x14ac:dyDescent="0.2">
      <c r="A28">
        <v>0</v>
      </c>
      <c r="B28">
        <v>3</v>
      </c>
      <c r="C28">
        <v>5</v>
      </c>
      <c r="D28">
        <v>6</v>
      </c>
      <c r="E28" s="1">
        <v>1</v>
      </c>
    </row>
    <row r="30" spans="1:5" x14ac:dyDescent="0.2">
      <c r="B30">
        <v>1</v>
      </c>
      <c r="C30">
        <v>-1</v>
      </c>
      <c r="D30">
        <v>2</v>
      </c>
      <c r="E30">
        <v>1</v>
      </c>
    </row>
    <row r="31" spans="1:5" x14ac:dyDescent="0.2">
      <c r="A31">
        <v>0</v>
      </c>
      <c r="B31">
        <v>15</v>
      </c>
      <c r="D31">
        <v>20</v>
      </c>
    </row>
    <row r="32" spans="1:5" x14ac:dyDescent="0.2">
      <c r="A32">
        <v>2</v>
      </c>
      <c r="B32">
        <v>15</v>
      </c>
      <c r="C32">
        <v>10</v>
      </c>
      <c r="E32">
        <v>25</v>
      </c>
    </row>
    <row r="33" spans="1:6" x14ac:dyDescent="0.2">
      <c r="A33">
        <v>0</v>
      </c>
      <c r="E33">
        <v>15</v>
      </c>
    </row>
    <row r="35" spans="1:6" x14ac:dyDescent="0.2">
      <c r="B35">
        <v>1</v>
      </c>
      <c r="C35">
        <v>0</v>
      </c>
      <c r="D35">
        <v>2</v>
      </c>
      <c r="E35">
        <v>2</v>
      </c>
    </row>
    <row r="36" spans="1:6" x14ac:dyDescent="0.2">
      <c r="A36">
        <v>0</v>
      </c>
      <c r="B36" s="1">
        <v>1</v>
      </c>
      <c r="C36">
        <v>3</v>
      </c>
      <c r="D36" s="1">
        <v>2</v>
      </c>
      <c r="E36">
        <v>4</v>
      </c>
    </row>
    <row r="37" spans="1:6" x14ac:dyDescent="0.2">
      <c r="A37">
        <v>1</v>
      </c>
      <c r="B37" s="1">
        <v>2</v>
      </c>
      <c r="C37" s="1">
        <v>1</v>
      </c>
      <c r="D37">
        <v>4</v>
      </c>
      <c r="E37" s="1">
        <v>3</v>
      </c>
    </row>
    <row r="38" spans="1:6" x14ac:dyDescent="0.2">
      <c r="A38">
        <v>-1</v>
      </c>
      <c r="B38">
        <v>3</v>
      </c>
      <c r="C38">
        <v>5</v>
      </c>
      <c r="D38">
        <v>6</v>
      </c>
      <c r="E38" s="1">
        <v>1</v>
      </c>
    </row>
    <row r="40" spans="1:6" x14ac:dyDescent="0.2">
      <c r="B40">
        <f>B36*B31</f>
        <v>15</v>
      </c>
      <c r="C40">
        <f t="shared" ref="C40:E40" si="0">C36*C31</f>
        <v>0</v>
      </c>
      <c r="D40">
        <f t="shared" si="0"/>
        <v>40</v>
      </c>
      <c r="E40">
        <f t="shared" si="0"/>
        <v>0</v>
      </c>
    </row>
    <row r="41" spans="1:6" x14ac:dyDescent="0.2">
      <c r="B41">
        <f t="shared" ref="B41:E42" si="1">B37*B32</f>
        <v>30</v>
      </c>
      <c r="C41">
        <f t="shared" si="1"/>
        <v>10</v>
      </c>
      <c r="D41">
        <f t="shared" si="1"/>
        <v>0</v>
      </c>
      <c r="E41">
        <f t="shared" si="1"/>
        <v>75</v>
      </c>
    </row>
    <row r="42" spans="1:6" x14ac:dyDescent="0.2">
      <c r="B42">
        <f t="shared" si="1"/>
        <v>0</v>
      </c>
      <c r="C42">
        <f t="shared" si="1"/>
        <v>0</v>
      </c>
      <c r="D42">
        <f t="shared" si="1"/>
        <v>0</v>
      </c>
      <c r="E42">
        <f t="shared" si="1"/>
        <v>15</v>
      </c>
    </row>
    <row r="43" spans="1:6" x14ac:dyDescent="0.2">
      <c r="F43">
        <f>SUM(B40:E42)</f>
        <v>185</v>
      </c>
    </row>
    <row r="53" spans="1:6" x14ac:dyDescent="0.2">
      <c r="A53" t="s">
        <v>16</v>
      </c>
      <c r="B53" t="s">
        <v>21</v>
      </c>
      <c r="C53" t="s">
        <v>22</v>
      </c>
      <c r="D53" t="s">
        <v>23</v>
      </c>
      <c r="E53" t="s">
        <v>24</v>
      </c>
      <c r="F53" t="s">
        <v>15</v>
      </c>
    </row>
    <row r="54" spans="1:6" x14ac:dyDescent="0.2">
      <c r="A54" t="s">
        <v>17</v>
      </c>
      <c r="B54" s="1">
        <v>1</v>
      </c>
      <c r="C54" s="1">
        <v>3</v>
      </c>
      <c r="D54">
        <v>-4</v>
      </c>
      <c r="E54">
        <v>-1</v>
      </c>
      <c r="F54">
        <v>35</v>
      </c>
    </row>
    <row r="55" spans="1:6" x14ac:dyDescent="0.2">
      <c r="A55" t="s">
        <v>18</v>
      </c>
      <c r="B55">
        <v>3</v>
      </c>
      <c r="C55" s="1">
        <v>1</v>
      </c>
      <c r="D55" s="1">
        <v>4</v>
      </c>
      <c r="E55" s="1">
        <v>3</v>
      </c>
      <c r="F55">
        <v>50</v>
      </c>
    </row>
    <row r="56" spans="1:6" x14ac:dyDescent="0.2">
      <c r="A56" t="s">
        <v>19</v>
      </c>
      <c r="B56">
        <v>6</v>
      </c>
      <c r="C56">
        <v>6</v>
      </c>
      <c r="D56">
        <v>4</v>
      </c>
      <c r="E56" s="1">
        <v>1</v>
      </c>
      <c r="F56">
        <v>15</v>
      </c>
    </row>
    <row r="57" spans="1:6" x14ac:dyDescent="0.2">
      <c r="A57" t="s">
        <v>20</v>
      </c>
      <c r="B57">
        <v>30</v>
      </c>
      <c r="C57">
        <v>10</v>
      </c>
      <c r="D57">
        <v>20</v>
      </c>
      <c r="E57">
        <v>40</v>
      </c>
    </row>
    <row r="59" spans="1:6" x14ac:dyDescent="0.2">
      <c r="A59" t="s">
        <v>16</v>
      </c>
      <c r="B59" t="s">
        <v>21</v>
      </c>
      <c r="C59" t="s">
        <v>22</v>
      </c>
      <c r="D59" t="s">
        <v>23</v>
      </c>
      <c r="E59" t="s">
        <v>24</v>
      </c>
      <c r="F59" t="s">
        <v>15</v>
      </c>
    </row>
    <row r="60" spans="1:6" x14ac:dyDescent="0.2">
      <c r="A60" t="s">
        <v>17</v>
      </c>
      <c r="B60">
        <v>30</v>
      </c>
      <c r="D60">
        <v>5</v>
      </c>
      <c r="F60">
        <v>35</v>
      </c>
    </row>
    <row r="61" spans="1:6" x14ac:dyDescent="0.2">
      <c r="A61" t="s">
        <v>18</v>
      </c>
      <c r="C61">
        <v>10</v>
      </c>
      <c r="D61">
        <v>15</v>
      </c>
      <c r="E61">
        <v>25</v>
      </c>
      <c r="F61">
        <v>50</v>
      </c>
    </row>
    <row r="62" spans="1:6" x14ac:dyDescent="0.2">
      <c r="A62" t="s">
        <v>19</v>
      </c>
      <c r="E62">
        <v>15</v>
      </c>
      <c r="F62">
        <v>15</v>
      </c>
    </row>
    <row r="63" spans="1:6" x14ac:dyDescent="0.2">
      <c r="A63" t="s">
        <v>20</v>
      </c>
      <c r="B63">
        <v>30</v>
      </c>
      <c r="C63">
        <v>10</v>
      </c>
      <c r="D63">
        <v>20</v>
      </c>
      <c r="E63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Рашит Галиуллин</dc:creator>
  <cp:lastModifiedBy>Рашит Галиуллин</cp:lastModifiedBy>
  <dcterms:created xsi:type="dcterms:W3CDTF">2025-03-06T20:41:39Z</dcterms:created>
  <dcterms:modified xsi:type="dcterms:W3CDTF">2025-03-07T14:11:26Z</dcterms:modified>
</cp:coreProperties>
</file>